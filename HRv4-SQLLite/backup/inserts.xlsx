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Projecten\Kern Gezond Projecten\02 Database\02 Fasering\03 Werkpakketten\10 GGM\60 Werkmap\Onderdeel - Modellen\Studie temporaliteit\Correctie en Herstel\Database\Herstel V4\"/>
    </mc:Choice>
  </mc:AlternateContent>
  <bookViews>
    <workbookView xWindow="0" yWindow="0" windowWidth="23940" windowHeight="12735" activeTab="1"/>
  </bookViews>
  <sheets>
    <sheet name="Create Table" sheetId="4" r:id="rId1"/>
    <sheet name="Inserts" sheetId="1" r:id="rId2"/>
    <sheet name="bu" sheetId="3" r:id="rId3"/>
    <sheet name="Blad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24" i="1"/>
  <c r="C9" i="1"/>
  <c r="C38" i="1"/>
  <c r="C41" i="1"/>
  <c r="C27" i="1"/>
  <c r="C26" i="1"/>
  <c r="C33" i="1"/>
  <c r="C32" i="1"/>
  <c r="C30" i="1"/>
  <c r="C29" i="1"/>
  <c r="C23" i="1"/>
  <c r="C18" i="1"/>
  <c r="C15" i="1"/>
  <c r="A39" i="4"/>
  <c r="B30" i="3"/>
  <c r="B29" i="3"/>
  <c r="B27" i="3"/>
  <c r="B26" i="3"/>
  <c r="B24" i="3"/>
  <c r="B23" i="3"/>
  <c r="B20" i="3"/>
  <c r="B21" i="3" s="1"/>
  <c r="B15" i="3"/>
  <c r="B14" i="3"/>
  <c r="B12" i="3"/>
  <c r="B11" i="3"/>
  <c r="B9" i="3"/>
  <c r="B8" i="3"/>
  <c r="B5" i="3"/>
  <c r="B6" i="3" s="1"/>
  <c r="C14" i="1"/>
  <c r="C17" i="1"/>
  <c r="C12" i="1"/>
  <c r="C11" i="1"/>
  <c r="C8" i="1"/>
</calcChain>
</file>

<file path=xl/comments1.xml><?xml version="1.0" encoding="utf-8"?>
<comments xmlns="http://schemas.openxmlformats.org/spreadsheetml/2006/main">
  <authors>
    <author>dbxwwe</author>
  </authors>
  <commentList>
    <comment ref="G6" authorId="0" shapeId="0">
      <text>
        <r>
          <rPr>
            <b/>
            <sz val="9"/>
            <color indexed="81"/>
            <rFont val="Tahoma"/>
            <family val="2"/>
          </rPr>
          <t>dbxwwe:</t>
        </r>
        <r>
          <rPr>
            <sz val="9"/>
            <color indexed="81"/>
            <rFont val="Tahoma"/>
            <family val="2"/>
          </rPr>
          <t xml:space="preserve">
corrigeert / maakt_ongedaan
_registratie_id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dbxwwe:</t>
        </r>
        <r>
          <rPr>
            <sz val="9"/>
            <color indexed="81"/>
            <rFont val="Tahoma"/>
            <family val="2"/>
          </rPr>
          <t xml:space="preserve">
het afgevoerde record (o_id)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dbxwwe:</t>
        </r>
        <r>
          <rPr>
            <sz val="9"/>
            <color indexed="81"/>
            <rFont val="Tahoma"/>
            <family val="2"/>
          </rPr>
          <t xml:space="preserve">
het opgevoerde record (indien Registratie of Correctie)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dbxwwe:</t>
        </r>
        <r>
          <rPr>
            <sz val="9"/>
            <color indexed="81"/>
            <rFont val="Tahoma"/>
            <family val="2"/>
          </rPr>
          <t xml:space="preserve">
corrigeert / maakt_ongedaan
_registratie_id</t>
        </r>
      </text>
    </comment>
    <comment ref="I21" authorId="0" shapeId="0">
      <text>
        <r>
          <rPr>
            <b/>
            <sz val="9"/>
            <color indexed="81"/>
            <rFont val="Tahoma"/>
            <family val="2"/>
          </rPr>
          <t>dbxwwe:</t>
        </r>
        <r>
          <rPr>
            <sz val="9"/>
            <color indexed="81"/>
            <rFont val="Tahoma"/>
            <family val="2"/>
          </rPr>
          <t xml:space="preserve">
het afgevoerde record (o_id)</t>
        </r>
      </text>
    </comment>
    <comment ref="J21" authorId="0" shapeId="0">
      <text>
        <r>
          <rPr>
            <b/>
            <sz val="9"/>
            <color indexed="81"/>
            <rFont val="Tahoma"/>
            <family val="2"/>
          </rPr>
          <t>dbxwwe:</t>
        </r>
        <r>
          <rPr>
            <sz val="9"/>
            <color indexed="81"/>
            <rFont val="Tahoma"/>
            <family val="2"/>
          </rPr>
          <t xml:space="preserve">
het opgevoerde record (indien Registratie of Correctie)</t>
        </r>
      </text>
    </comment>
    <comment ref="G36" authorId="0" shapeId="0">
      <text>
        <r>
          <rPr>
            <b/>
            <sz val="9"/>
            <color indexed="81"/>
            <rFont val="Tahoma"/>
            <family val="2"/>
          </rPr>
          <t>dbxwwe:</t>
        </r>
        <r>
          <rPr>
            <sz val="9"/>
            <color indexed="81"/>
            <rFont val="Tahoma"/>
            <family val="2"/>
          </rPr>
          <t xml:space="preserve">
corrigeert / maakt_ongedaan
_registratie_id</t>
        </r>
      </text>
    </comment>
    <comment ref="I36" authorId="0" shapeId="0">
      <text>
        <r>
          <rPr>
            <b/>
            <sz val="9"/>
            <color indexed="81"/>
            <rFont val="Tahoma"/>
            <family val="2"/>
          </rPr>
          <t>dbxwwe:</t>
        </r>
        <r>
          <rPr>
            <sz val="9"/>
            <color indexed="81"/>
            <rFont val="Tahoma"/>
            <family val="2"/>
          </rPr>
          <t xml:space="preserve">
het afgevoerde record (o_id)</t>
        </r>
      </text>
    </comment>
    <comment ref="J36" authorId="0" shapeId="0">
      <text>
        <r>
          <rPr>
            <b/>
            <sz val="9"/>
            <color indexed="81"/>
            <rFont val="Tahoma"/>
            <family val="2"/>
          </rPr>
          <t>dbxwwe:</t>
        </r>
        <r>
          <rPr>
            <sz val="9"/>
            <color indexed="81"/>
            <rFont val="Tahoma"/>
            <family val="2"/>
          </rPr>
          <t xml:space="preserve">
het opgevoerde record (indien Registratie of Correctie)</t>
        </r>
      </text>
    </comment>
  </commentList>
</comments>
</file>

<file path=xl/sharedStrings.xml><?xml version="1.0" encoding="utf-8"?>
<sst xmlns="http://schemas.openxmlformats.org/spreadsheetml/2006/main" count="139" uniqueCount="72">
  <si>
    <t>insert into x (x_id, waarde_van_x) values (1, 'een');</t>
  </si>
  <si>
    <t xml:space="preserve"> </t>
  </si>
  <si>
    <t>insert into registratie (registratie_id, registratie_type, tijdstip, opmerking) values (1, 'Registratie', 't1', 'registratie O voor x=1 met waarde A');</t>
  </si>
  <si>
    <t>insert into o (o_id, x_id, waarde) values (1, 1, 'A');</t>
  </si>
  <si>
    <t>insert into wijziging (wijziging_id, wijziging_type, registratie_id, representatienaam, representatie_id, tijdstip ) values (1, 'Opvoer', 1, 'o', 1, 't1');</t>
  </si>
  <si>
    <t>insert into registratie (registratie_id, registratie_type, tijdstip, opmerking) values (2, 'Registratie', 't2', 'B, ook voor x=1');</t>
  </si>
  <si>
    <t>insert into o (o_id, x_id, waarde) values (2, 1, 'B');</t>
  </si>
  <si>
    <t>insert into wijziging (wijziging_id, wijziging_type, registratie_id, representatienaam, representatie_id, tijdstip ) values (2, 'Afvoer', 2, 'o', 1, 't2');</t>
  </si>
  <si>
    <t>insert into wijziging (wijziging_id, wijziging_type, registratie_id, representatienaam, representatie_id, tijdstip ) values (3, 'Opvoer', 2, 'o', 2, 't2');</t>
  </si>
  <si>
    <t>'-- basis record</t>
  </si>
  <si>
    <t>'--t1</t>
  </si>
  <si>
    <t>'--Registratie formeel tijdstip 1</t>
  </si>
  <si>
    <t>'--de waarde</t>
  </si>
  <si>
    <t>'--de opvoer ervan, tijdstip is afgeleid maar nu even met de hand gedaan</t>
  </si>
  <si>
    <t>'--t2</t>
  </si>
  <si>
    <t>'--Reg waarde B op t2</t>
  </si>
  <si>
    <t>'-- de afvoer van A (o_id=1) op t2 ( tijdstip is afgeleid maar nu even met de hand gedaan)</t>
  </si>
  <si>
    <t>'--de opvoer van B (tijdstip ook weer met de hand)</t>
  </si>
  <si>
    <t>Registratie</t>
  </si>
  <si>
    <t>t1</t>
  </si>
  <si>
    <t>repr</t>
  </si>
  <si>
    <t>O</t>
  </si>
  <si>
    <t>reg_type</t>
  </si>
  <si>
    <t xml:space="preserve">t </t>
  </si>
  <si>
    <t>x_id</t>
  </si>
  <si>
    <t>waarde</t>
  </si>
  <si>
    <t>A</t>
  </si>
  <si>
    <t>o_id</t>
  </si>
  <si>
    <t>ex-O</t>
  </si>
  <si>
    <t>t2</t>
  </si>
  <si>
    <t>B</t>
  </si>
  <si>
    <t>reg_id</t>
  </si>
  <si>
    <t>--de waarde</t>
  </si>
  <si>
    <t>C/MO</t>
  </si>
  <si>
    <t>CREATE TABLE x</t>
  </si>
  <si>
    <t>(</t>
  </si>
  <si>
    <t xml:space="preserve">waarde_van_x </t>
  </si>
  <si>
    <t>varchar(200) NOT NULL,</t>
  </si>
  <si>
    <t xml:space="preserve">x_id INTEGER NOT NULL PRIMARY KEY </t>
  </si>
  <si>
    <t>)</t>
  </si>
  <si>
    <t>;</t>
  </si>
  <si>
    <t>CREATE TABLE o</t>
  </si>
  <si>
    <t xml:space="preserve">waarde </t>
  </si>
  <si>
    <t>varchar NOT NULL,</t>
  </si>
  <si>
    <t>o_id INTEGER NOT NULL PRIMARY KEY ,</t>
  </si>
  <si>
    <t>x_id INTEGER,</t>
  </si>
  <si>
    <t>CONSTRAINT FK_o_x FOREIGN KEY (x_id) REFERENCES x (x_id) ON DELETE No Action ON UPDATE No Action</t>
  </si>
  <si>
    <t>CREATE TABLE registratie</t>
  </si>
  <si>
    <t>registratie_id INTEGER NOT NULL PRIMARY KEY ,</t>
  </si>
  <si>
    <t>registratie_type TEXT NOT NULL CHECK (registratie_type in ('Registratie', 'Correctie', 'Ongedaanmaking')),</t>
  </si>
  <si>
    <t xml:space="preserve">tijdstip </t>
  </si>
  <si>
    <t>char(26) NOT NULL,</t>
  </si>
  <si>
    <t xml:space="preserve">opmerking </t>
  </si>
  <si>
    <t>opgave_id INTEGER,</t>
  </si>
  <si>
    <t>corrigeert_registratie_id INTEGER,</t>
  </si>
  <si>
    <t>maakt_ongedaan_registratie_id INTEGER,</t>
  </si>
  <si>
    <t>CONSTRAINT FK_corrigeert FOREIGN KEY (corrigeert_registratie_id) REFERENCES registratie (registratie_id) ON DELETE No Action ON UPDATE No Action,</t>
  </si>
  <si>
    <t>CONSTRAINT FK_maakt_ongedaan FOREIGN KEY (maakt_ongedaan_registratie_id) REFERENCES registratie (registratie_id) ON DELETE No Action ON UPDATE No Action,</t>
  </si>
  <si>
    <t>CONSTRAINT registreert volgens FOREIGN KEY (opgave_id) REFERENCES opgave (opgave_id) ON DELETE No Action ON UPDATE No Action</t>
  </si>
  <si>
    <t>);</t>
  </si>
  <si>
    <t>CREATE TABLE wijziging</t>
  </si>
  <si>
    <t>wijziging_id INTEGER NOT NULL PRIMARY KEY ,</t>
  </si>
  <si>
    <t xml:space="preserve">wijziging_type VARCHAR CHECK (wijziging_type IN ('Opvoer', 'Afvoer')), </t>
  </si>
  <si>
    <t>registratie_id INTEGER,</t>
  </si>
  <si>
    <t xml:space="preserve">representatienaam </t>
  </si>
  <si>
    <t>varchar NOT NULL, --  de naam van de {Representatie} die gewijzigd is geworden.</t>
  </si>
  <si>
    <t>representatie_id INTEGER NOT NULL,</t>
  </si>
  <si>
    <t>char(26) NOT NULL, -- - Afgeleide kolom! Het tijdstip van de Registratie.</t>
  </si>
  <si>
    <t>CONSTRAINT FK_wijziging_registratie FOREIGN KEY (registratie_id) REFERENCES registratie (registratie_id) ON DELETE No Action ON UPDATE No Action</t>
  </si>
  <si>
    <t>t3</t>
  </si>
  <si>
    <t>t</t>
  </si>
  <si>
    <t>Ongedaanmaking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</si>
</sst>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quotePrefix="1" applyBorder="1" applyAlignment="1">
      <alignment wrapText="1"/>
    </xf>
    <xf numFmtId="0" fontId="0" fillId="0" borderId="6" xfId="0" applyBorder="1" applyAlignment="1">
      <alignment wrapText="1"/>
    </xf>
    <xf numFmtId="0" fontId="2" fillId="0" borderId="7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5" fillId="0" borderId="0" xfId="0" applyFont="1" applyBorder="1" applyAlignment="1">
      <alignment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workbookViewId="0">
      <selection activeCell="A32" sqref="A32"/>
    </sheetView>
  </sheetViews>
  <sheetFormatPr defaultRowHeight="12" x14ac:dyDescent="0.2"/>
  <cols>
    <col min="1" max="1" width="143.42578125" customWidth="1"/>
  </cols>
  <sheetData>
    <row r="1" spans="1:1" x14ac:dyDescent="0.2">
      <c r="A1" t="s">
        <v>34</v>
      </c>
    </row>
    <row r="2" spans="1:1" x14ac:dyDescent="0.2">
      <c r="A2" t="s">
        <v>35</v>
      </c>
    </row>
    <row r="3" spans="1:1" x14ac:dyDescent="0.2">
      <c r="A3" t="s">
        <v>36</v>
      </c>
    </row>
    <row r="4" spans="1:1" x14ac:dyDescent="0.2">
      <c r="A4" t="s">
        <v>37</v>
      </c>
    </row>
    <row r="5" spans="1:1" x14ac:dyDescent="0.2">
      <c r="A5" t="s">
        <v>38</v>
      </c>
    </row>
    <row r="6" spans="1:1" x14ac:dyDescent="0.2">
      <c r="A6" t="s">
        <v>39</v>
      </c>
    </row>
    <row r="7" spans="1:1" x14ac:dyDescent="0.2">
      <c r="A7" t="s">
        <v>40</v>
      </c>
    </row>
    <row r="11" spans="1:1" x14ac:dyDescent="0.2">
      <c r="A11" t="s">
        <v>41</v>
      </c>
    </row>
    <row r="12" spans="1:1" x14ac:dyDescent="0.2">
      <c r="A12" t="s">
        <v>35</v>
      </c>
    </row>
    <row r="13" spans="1:1" x14ac:dyDescent="0.2">
      <c r="A13" t="s">
        <v>42</v>
      </c>
    </row>
    <row r="14" spans="1:1" x14ac:dyDescent="0.2">
      <c r="A14" t="s">
        <v>43</v>
      </c>
    </row>
    <row r="15" spans="1:1" x14ac:dyDescent="0.2">
      <c r="A15" t="s">
        <v>44</v>
      </c>
    </row>
    <row r="16" spans="1:1" x14ac:dyDescent="0.2">
      <c r="A16" t="s">
        <v>45</v>
      </c>
    </row>
    <row r="17" spans="1:1" x14ac:dyDescent="0.2">
      <c r="A17" t="s">
        <v>46</v>
      </c>
    </row>
    <row r="18" spans="1:1" x14ac:dyDescent="0.2">
      <c r="A18" t="s">
        <v>39</v>
      </c>
    </row>
    <row r="19" spans="1:1" x14ac:dyDescent="0.2">
      <c r="A19" t="s">
        <v>40</v>
      </c>
    </row>
    <row r="22" spans="1:1" x14ac:dyDescent="0.2">
      <c r="A22" t="s">
        <v>47</v>
      </c>
    </row>
    <row r="23" spans="1:1" x14ac:dyDescent="0.2">
      <c r="A23" t="s">
        <v>35</v>
      </c>
    </row>
    <row r="24" spans="1:1" x14ac:dyDescent="0.2">
      <c r="A24" t="s">
        <v>48</v>
      </c>
    </row>
    <row r="25" spans="1:1" x14ac:dyDescent="0.2">
      <c r="A25" t="s">
        <v>49</v>
      </c>
    </row>
    <row r="26" spans="1:1" x14ac:dyDescent="0.2">
      <c r="A26" t="s">
        <v>50</v>
      </c>
    </row>
    <row r="27" spans="1:1" x14ac:dyDescent="0.2">
      <c r="A27" t="s">
        <v>51</v>
      </c>
    </row>
    <row r="28" spans="1:1" x14ac:dyDescent="0.2">
      <c r="A28" t="s">
        <v>52</v>
      </c>
    </row>
    <row r="29" spans="1:1" x14ac:dyDescent="0.2">
      <c r="A29" t="s">
        <v>37</v>
      </c>
    </row>
    <row r="30" spans="1:1" x14ac:dyDescent="0.2">
      <c r="A30" t="s">
        <v>53</v>
      </c>
    </row>
    <row r="31" spans="1:1" x14ac:dyDescent="0.2">
      <c r="A31" t="s">
        <v>54</v>
      </c>
    </row>
    <row r="32" spans="1:1" x14ac:dyDescent="0.2">
      <c r="A32" t="s">
        <v>55</v>
      </c>
    </row>
    <row r="33" spans="1:1" x14ac:dyDescent="0.2">
      <c r="A33" t="s">
        <v>56</v>
      </c>
    </row>
    <row r="34" spans="1:1" x14ac:dyDescent="0.2">
      <c r="A34" t="s">
        <v>57</v>
      </c>
    </row>
    <row r="35" spans="1:1" x14ac:dyDescent="0.2">
      <c r="A35" t="s">
        <v>58</v>
      </c>
    </row>
    <row r="36" spans="1:1" x14ac:dyDescent="0.2">
      <c r="A36" t="s">
        <v>59</v>
      </c>
    </row>
    <row r="39" spans="1:1" x14ac:dyDescent="0.2">
      <c r="A39" t="e">
        <f>-- opvoer afvoer</f>
        <v>#NAME?</v>
      </c>
    </row>
    <row r="40" spans="1:1" x14ac:dyDescent="0.2">
      <c r="A40" t="s">
        <v>60</v>
      </c>
    </row>
    <row r="41" spans="1:1" x14ac:dyDescent="0.2">
      <c r="A41" t="s">
        <v>35</v>
      </c>
    </row>
    <row r="42" spans="1:1" x14ac:dyDescent="0.2">
      <c r="A42" t="s">
        <v>61</v>
      </c>
    </row>
    <row r="43" spans="1:1" x14ac:dyDescent="0.2">
      <c r="A43" t="s">
        <v>62</v>
      </c>
    </row>
    <row r="44" spans="1:1" x14ac:dyDescent="0.2">
      <c r="A44" t="s">
        <v>63</v>
      </c>
    </row>
    <row r="45" spans="1:1" x14ac:dyDescent="0.2">
      <c r="A45" t="s">
        <v>64</v>
      </c>
    </row>
    <row r="46" spans="1:1" x14ac:dyDescent="0.2">
      <c r="A46" t="s">
        <v>65</v>
      </c>
    </row>
    <row r="47" spans="1:1" x14ac:dyDescent="0.2">
      <c r="A47" t="s">
        <v>66</v>
      </c>
    </row>
    <row r="48" spans="1:1" x14ac:dyDescent="0.2">
      <c r="A48" t="s">
        <v>50</v>
      </c>
    </row>
    <row r="49" spans="1:1" x14ac:dyDescent="0.2">
      <c r="A49" t="s">
        <v>67</v>
      </c>
    </row>
    <row r="50" spans="1:1" x14ac:dyDescent="0.2">
      <c r="A50" t="s">
        <v>68</v>
      </c>
    </row>
    <row r="51" spans="1:1" x14ac:dyDescent="0.2">
      <c r="A51" t="s">
        <v>39</v>
      </c>
    </row>
    <row r="52" spans="1:1" x14ac:dyDescent="0.2">
      <c r="A5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N42"/>
  <sheetViews>
    <sheetView tabSelected="1" zoomScale="145" zoomScaleNormal="145" workbookViewId="0">
      <selection activeCell="E37" sqref="E37"/>
    </sheetView>
  </sheetViews>
  <sheetFormatPr defaultRowHeight="12" x14ac:dyDescent="0.2"/>
  <cols>
    <col min="1" max="1" width="1.7109375" customWidth="1"/>
    <col min="2" max="2" width="21.42578125" style="2" customWidth="1"/>
    <col min="3" max="3" width="8" style="6" customWidth="1"/>
    <col min="4" max="4" width="4.140625" style="6" customWidth="1"/>
    <col min="5" max="5" width="6.28515625" style="6" bestFit="1" customWidth="1"/>
    <col min="6" max="6" width="13.7109375" style="6" customWidth="1"/>
    <col min="7" max="7" width="5.5703125" style="7" bestFit="1" customWidth="1"/>
    <col min="8" max="8" width="4.42578125" style="6" bestFit="1" customWidth="1"/>
    <col min="9" max="9" width="4.85546875" style="6" bestFit="1" customWidth="1"/>
    <col min="10" max="10" width="4.7109375" style="6" bestFit="1" customWidth="1"/>
    <col min="11" max="11" width="4.5703125" style="7" bestFit="1" customWidth="1"/>
    <col min="12" max="12" width="7.140625" style="7" bestFit="1" customWidth="1"/>
    <col min="13" max="13" width="4.28515625" style="7" customWidth="1"/>
    <col min="14" max="14" width="36.28515625" style="6" customWidth="1"/>
    <col min="15" max="15" width="3.140625" customWidth="1"/>
    <col min="16" max="16" width="17.28515625" customWidth="1"/>
  </cols>
  <sheetData>
    <row r="2" spans="2:14" x14ac:dyDescent="0.2">
      <c r="B2" s="1"/>
      <c r="C2" s="19" t="s">
        <v>9</v>
      </c>
      <c r="D2" s="19"/>
      <c r="E2" s="19"/>
      <c r="F2" s="20"/>
      <c r="G2" s="20"/>
      <c r="H2" s="20"/>
      <c r="I2" s="20"/>
      <c r="J2" s="20"/>
      <c r="K2" s="20"/>
      <c r="L2" s="20"/>
      <c r="M2" s="20"/>
      <c r="N2" s="20"/>
    </row>
    <row r="3" spans="2:14" ht="12" customHeight="1" x14ac:dyDescent="0.2">
      <c r="B3" s="1"/>
      <c r="C3" s="19" t="s">
        <v>0</v>
      </c>
      <c r="D3" s="19"/>
      <c r="E3" s="19"/>
      <c r="F3" s="20"/>
      <c r="G3" s="20"/>
      <c r="H3" s="20"/>
      <c r="I3" s="20"/>
      <c r="J3" s="20" t="s">
        <v>21</v>
      </c>
      <c r="K3" s="20"/>
      <c r="L3" s="20"/>
      <c r="M3" s="20"/>
      <c r="N3" s="20"/>
    </row>
    <row r="4" spans="2:14" x14ac:dyDescent="0.2">
      <c r="B4" s="1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</row>
    <row r="5" spans="2:14" ht="12.75" thickBot="1" x14ac:dyDescent="0.25">
      <c r="B5" s="1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</row>
    <row r="6" spans="2:14" x14ac:dyDescent="0.2">
      <c r="B6" s="10" t="s">
        <v>1</v>
      </c>
      <c r="C6" s="11"/>
      <c r="D6" s="11" t="s">
        <v>70</v>
      </c>
      <c r="E6" s="11" t="s">
        <v>31</v>
      </c>
      <c r="F6" s="11" t="s">
        <v>22</v>
      </c>
      <c r="G6" s="12" t="s">
        <v>33</v>
      </c>
      <c r="H6" s="11" t="s">
        <v>20</v>
      </c>
      <c r="I6" s="11" t="s">
        <v>28</v>
      </c>
      <c r="J6" s="11" t="s">
        <v>27</v>
      </c>
      <c r="K6" s="12" t="s">
        <v>24</v>
      </c>
      <c r="L6" s="12" t="s">
        <v>25</v>
      </c>
      <c r="M6" s="13"/>
      <c r="N6" s="14"/>
    </row>
    <row r="7" spans="2:14" x14ac:dyDescent="0.2">
      <c r="B7" s="15"/>
      <c r="C7" s="16"/>
      <c r="D7" s="16" t="s">
        <v>19</v>
      </c>
      <c r="E7" s="16">
        <v>1</v>
      </c>
      <c r="F7" s="16" t="s">
        <v>18</v>
      </c>
      <c r="G7" s="17"/>
      <c r="H7" s="16" t="s">
        <v>21</v>
      </c>
      <c r="I7" s="16"/>
      <c r="J7" s="17">
        <v>1</v>
      </c>
      <c r="K7" s="17">
        <v>1</v>
      </c>
      <c r="L7" s="17" t="s">
        <v>26</v>
      </c>
      <c r="M7" s="17"/>
      <c r="N7" s="18"/>
    </row>
    <row r="8" spans="2:14" x14ac:dyDescent="0.2">
      <c r="B8" s="15"/>
      <c r="C8" s="19" t="str">
        <f>"--"&amp;F7&amp;" van "&amp;H7&amp;": "&amp;IF(I7&lt;&gt;"","van o_id="&amp;I7&amp;" naar ","")&amp;"o_id="&amp;J7&amp;" met x_id="&amp;K7&amp;" en waarde="&amp;L7</f>
        <v>--Registratie van O: o_id=1 met x_id=1 en waarde=A</v>
      </c>
      <c r="D8" s="19"/>
      <c r="E8" s="19"/>
      <c r="F8" s="20"/>
      <c r="G8" s="20"/>
      <c r="H8" s="20"/>
      <c r="I8" s="20"/>
      <c r="J8" s="20"/>
      <c r="K8" s="20"/>
      <c r="L8" s="20"/>
      <c r="M8" s="20"/>
      <c r="N8" s="21"/>
    </row>
    <row r="9" spans="2:14" ht="38.25" customHeight="1" x14ac:dyDescent="0.2">
      <c r="B9" s="15"/>
      <c r="C9" s="19" t="str">
        <f>"insert into registratie (registratie_id, registratie_type, tijdstip, opmerking) values ("&amp;E7&amp;", '"&amp;F7&amp;"', '"&amp;D7&amp;"', '"&amp;C8&amp;"');"</f>
        <v>insert into registratie (registratie_id, registratie_type, tijdstip, opmerking) values (1, 'Registratie', 't1', '--Registratie van O: o_id=1 met x_id=1 en waarde=A');</v>
      </c>
      <c r="D9" s="19"/>
      <c r="E9" s="19"/>
      <c r="F9" s="20"/>
      <c r="G9" s="20"/>
      <c r="H9" s="20"/>
      <c r="I9" s="20"/>
      <c r="J9" s="20"/>
      <c r="K9" s="20"/>
      <c r="L9" s="20"/>
      <c r="M9" s="20"/>
      <c r="N9" s="21"/>
    </row>
    <row r="10" spans="2:14" x14ac:dyDescent="0.2">
      <c r="B10" s="15" t="s">
        <v>1</v>
      </c>
      <c r="C10" s="19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1"/>
    </row>
    <row r="11" spans="2:14" x14ac:dyDescent="0.2">
      <c r="B11" s="22"/>
      <c r="C11" s="19" t="str">
        <f>"--insert de waarde in o"</f>
        <v>--insert de waarde in o</v>
      </c>
      <c r="D11" s="19"/>
      <c r="E11" s="19"/>
      <c r="F11" s="20"/>
      <c r="G11" s="20"/>
      <c r="H11" s="20"/>
      <c r="I11" s="20"/>
      <c r="J11" s="20"/>
      <c r="K11" s="20"/>
      <c r="L11" s="20"/>
      <c r="M11" s="20"/>
      <c r="N11" s="21"/>
    </row>
    <row r="12" spans="2:14" x14ac:dyDescent="0.2">
      <c r="B12" s="15"/>
      <c r="C12" s="19" t="str">
        <f>"insert into o (o_id, x_id, waarde) values ("&amp;J7&amp;", "&amp;K7&amp;", '"&amp;L7&amp;"');"</f>
        <v>insert into o (o_id, x_id, waarde) values (1, 1, 'A');</v>
      </c>
      <c r="D12" s="19"/>
      <c r="E12" s="19"/>
      <c r="F12" s="20"/>
      <c r="G12" s="20"/>
      <c r="H12" s="20"/>
      <c r="I12" s="20"/>
      <c r="J12" s="20"/>
      <c r="K12" s="20"/>
      <c r="L12" s="20"/>
      <c r="M12" s="20"/>
      <c r="N12" s="21"/>
    </row>
    <row r="13" spans="2:14" ht="17.25" customHeight="1" x14ac:dyDescent="0.2">
      <c r="B13" s="15"/>
      <c r="C13" s="19"/>
      <c r="D13" s="19"/>
      <c r="E13" s="19"/>
      <c r="F13" s="20"/>
      <c r="G13" s="20"/>
      <c r="H13" s="20"/>
      <c r="I13" s="20"/>
      <c r="J13" s="20"/>
      <c r="K13" s="20"/>
      <c r="L13" s="20"/>
      <c r="M13" s="20"/>
      <c r="N13" s="21"/>
    </row>
    <row r="14" spans="2:14" ht="15.75" customHeight="1" x14ac:dyDescent="0.2">
      <c r="B14" s="15"/>
      <c r="C14" s="19" t="str">
        <f>IF(I7&lt;&gt;"","--de afvoer van o met o_id="&amp;I7,"")</f>
        <v/>
      </c>
      <c r="D14" s="19"/>
      <c r="E14" s="19"/>
      <c r="F14" s="20"/>
      <c r="G14" s="20"/>
      <c r="H14" s="20"/>
      <c r="I14" s="20"/>
      <c r="J14" s="20"/>
      <c r="K14" s="20"/>
      <c r="L14" s="20"/>
      <c r="M14" s="20"/>
      <c r="N14" s="21"/>
    </row>
    <row r="15" spans="2:14" ht="29.25" customHeight="1" x14ac:dyDescent="0.2">
      <c r="B15" s="15"/>
      <c r="C15" s="19" t="str">
        <f>IF(I7&lt;&gt;"","insert into wijziging (wijziging_type, registratie_id, representatienaam, representatie_id, tijdstip ) values ('Afvoer', "&amp;E7&amp;", 'o', "&amp;J7&amp;", '"&amp;D7&amp;"');","")</f>
        <v/>
      </c>
      <c r="D15" s="19"/>
      <c r="E15" s="19"/>
      <c r="F15" s="20"/>
      <c r="G15" s="20"/>
      <c r="H15" s="20"/>
      <c r="I15" s="20"/>
      <c r="J15" s="20"/>
      <c r="K15" s="20"/>
      <c r="L15" s="20"/>
      <c r="M15" s="20"/>
      <c r="N15" s="21"/>
    </row>
    <row r="16" spans="2:14" x14ac:dyDescent="0.2">
      <c r="B16" s="15"/>
      <c r="C16" s="19"/>
      <c r="D16" s="19"/>
      <c r="E16" s="19"/>
      <c r="F16" s="20"/>
      <c r="G16" s="20"/>
      <c r="H16" s="20"/>
      <c r="I16" s="20"/>
      <c r="J16" s="20"/>
      <c r="K16" s="20"/>
      <c r="L16" s="20"/>
      <c r="M16" s="20"/>
      <c r="N16" s="21"/>
    </row>
    <row r="17" spans="2:14" x14ac:dyDescent="0.2">
      <c r="B17" s="15"/>
      <c r="C17" s="19" t="str">
        <f>"--de opvoer van o met o_id="&amp;J7</f>
        <v>--de opvoer van o met o_id=1</v>
      </c>
      <c r="D17" s="19"/>
      <c r="E17" s="19"/>
      <c r="F17" s="20"/>
      <c r="G17" s="20"/>
      <c r="H17" s="20"/>
      <c r="I17" s="20"/>
      <c r="J17" s="20"/>
      <c r="K17" s="20"/>
      <c r="L17" s="20"/>
      <c r="M17" s="20"/>
      <c r="N17" s="21"/>
    </row>
    <row r="18" spans="2:14" ht="31.5" customHeight="1" thickBot="1" x14ac:dyDescent="0.25">
      <c r="B18" s="23"/>
      <c r="C18" s="24" t="str">
        <f>"insert into wijziging (wijziging_type, registratie_id, representatienaam, representatie_id, tijdstip ) values ('Opvoer', "&amp;E7&amp;", 'o', "&amp;J7&amp;", '"&amp;D7&amp;"');"</f>
        <v>insert into wijziging (wijziging_type, registratie_id, representatienaam, representatie_id, tijdstip ) values ('Opvoer', 1, 'o', 1, 't1');</v>
      </c>
      <c r="D18" s="24"/>
      <c r="E18" s="24"/>
      <c r="F18" s="25"/>
      <c r="G18" s="25"/>
      <c r="H18" s="25"/>
      <c r="I18" s="25"/>
      <c r="J18" s="25"/>
      <c r="K18" s="25"/>
      <c r="L18" s="25"/>
      <c r="M18" s="25"/>
      <c r="N18" s="26"/>
    </row>
    <row r="19" spans="2:14" x14ac:dyDescent="0.2">
      <c r="C19" s="4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</row>
    <row r="20" spans="2:14" ht="12.75" thickBot="1" x14ac:dyDescent="0.25"/>
    <row r="21" spans="2:14" x14ac:dyDescent="0.2">
      <c r="B21" s="10" t="s">
        <v>1</v>
      </c>
      <c r="C21" s="11"/>
      <c r="D21" s="11" t="s">
        <v>70</v>
      </c>
      <c r="E21" s="11" t="s">
        <v>31</v>
      </c>
      <c r="F21" s="11" t="s">
        <v>22</v>
      </c>
      <c r="G21" s="12" t="s">
        <v>33</v>
      </c>
      <c r="H21" s="11" t="s">
        <v>20</v>
      </c>
      <c r="I21" s="11" t="s">
        <v>28</v>
      </c>
      <c r="J21" s="11" t="s">
        <v>27</v>
      </c>
      <c r="K21" s="12" t="s">
        <v>24</v>
      </c>
      <c r="L21" s="12" t="s">
        <v>25</v>
      </c>
      <c r="M21" s="13"/>
      <c r="N21" s="14"/>
    </row>
    <row r="22" spans="2:14" x14ac:dyDescent="0.2">
      <c r="B22" s="15"/>
      <c r="C22" s="16"/>
      <c r="D22" s="16" t="s">
        <v>29</v>
      </c>
      <c r="E22" s="16">
        <v>2</v>
      </c>
      <c r="F22" s="16" t="s">
        <v>18</v>
      </c>
      <c r="G22" s="17"/>
      <c r="H22" s="16" t="s">
        <v>21</v>
      </c>
      <c r="I22" s="16">
        <v>1</v>
      </c>
      <c r="J22" s="17">
        <v>2</v>
      </c>
      <c r="K22" s="17">
        <v>1</v>
      </c>
      <c r="L22" s="17" t="s">
        <v>30</v>
      </c>
      <c r="M22" s="17"/>
      <c r="N22" s="18"/>
    </row>
    <row r="23" spans="2:14" ht="12" customHeight="1" x14ac:dyDescent="0.2">
      <c r="B23" s="15"/>
      <c r="C23" s="19" t="str">
        <f>"--"&amp;F22&amp;" van "&amp;H22&amp;": "&amp;IF(I22&lt;&gt;"","van o_id="&amp;I22&amp;" naar ","")&amp;"o_id="&amp;J22&amp;" met x_id="&amp;K22&amp;" en waarde="&amp;L22</f>
        <v>--Registratie van O: van o_id=1 naar o_id=2 met x_id=1 en waarde=B</v>
      </c>
      <c r="D23" s="19"/>
      <c r="E23" s="19"/>
      <c r="F23" s="20"/>
      <c r="G23" s="20"/>
      <c r="H23" s="20"/>
      <c r="I23" s="20"/>
      <c r="J23" s="20"/>
      <c r="K23" s="20"/>
      <c r="L23" s="20"/>
      <c r="M23" s="20"/>
      <c r="N23" s="21"/>
    </row>
    <row r="24" spans="2:14" ht="24" customHeight="1" x14ac:dyDescent="0.2">
      <c r="B24" s="15"/>
      <c r="C24" s="19" t="str">
        <f>"insert into registratie (registratie_id, registratie_type, tijdstip, opmerking) values ("&amp;E22&amp;", '"&amp;F22&amp;"', '"&amp;D22&amp;"', '"&amp;C23&amp;"');"</f>
        <v>insert into registratie (registratie_id, registratie_type, tijdstip, opmerking) values (2, 'Registratie', 't2', '--Registratie van O: van o_id=1 naar o_id=2 met x_id=1 en waarde=B');</v>
      </c>
      <c r="D24" s="19"/>
      <c r="E24" s="19"/>
      <c r="F24" s="20"/>
      <c r="G24" s="20"/>
      <c r="H24" s="20"/>
      <c r="I24" s="20"/>
      <c r="J24" s="20"/>
      <c r="K24" s="20"/>
      <c r="L24" s="20"/>
      <c r="M24" s="20"/>
      <c r="N24" s="21"/>
    </row>
    <row r="25" spans="2:14" x14ac:dyDescent="0.2">
      <c r="B25" s="15"/>
      <c r="C25" s="19"/>
      <c r="D25" s="19"/>
      <c r="E25" s="19"/>
      <c r="F25" s="20"/>
      <c r="G25" s="20"/>
      <c r="H25" s="20"/>
      <c r="I25" s="20"/>
      <c r="J25" s="20"/>
      <c r="K25" s="20"/>
      <c r="L25" s="20"/>
      <c r="M25" s="20"/>
      <c r="N25" s="21"/>
    </row>
    <row r="26" spans="2:14" ht="12" customHeight="1" x14ac:dyDescent="0.2">
      <c r="B26" s="22"/>
      <c r="C26" s="19" t="str">
        <f>IF(F22&lt;&gt;"Ongedaanmaking","--insert de waarde in o","--geen waarde in o!")</f>
        <v>--insert de waarde in o</v>
      </c>
      <c r="D26" s="19"/>
      <c r="E26" s="19"/>
      <c r="F26" s="20"/>
      <c r="G26" s="20"/>
      <c r="H26" s="20"/>
      <c r="I26" s="20"/>
      <c r="J26" s="20"/>
      <c r="K26" s="20"/>
      <c r="L26" s="20"/>
      <c r="M26" s="20"/>
      <c r="N26" s="21"/>
    </row>
    <row r="27" spans="2:14" ht="12" customHeight="1" x14ac:dyDescent="0.2">
      <c r="B27" s="15"/>
      <c r="C27" s="19" t="str">
        <f>IF(F22&lt;&gt;"Ongedaanmaking","insert into o (o_id, x_id, waarde) values ("&amp;J22&amp;", "&amp;K22&amp;", '"&amp;L22&amp;"');","--n.v.t.")</f>
        <v>insert into o (o_id, x_id, waarde) values (2, 1, 'B');</v>
      </c>
      <c r="D27" s="19"/>
      <c r="E27" s="19"/>
      <c r="F27" s="20"/>
      <c r="G27" s="20"/>
      <c r="H27" s="20"/>
      <c r="I27" s="20"/>
      <c r="J27" s="20"/>
      <c r="K27" s="20"/>
      <c r="L27" s="20"/>
      <c r="M27" s="20"/>
      <c r="N27" s="21"/>
    </row>
    <row r="28" spans="2:14" x14ac:dyDescent="0.2">
      <c r="B28" s="15" t="s">
        <v>1</v>
      </c>
      <c r="C28" s="19"/>
      <c r="D28" s="19"/>
      <c r="E28" s="19"/>
      <c r="F28" s="20"/>
      <c r="G28" s="20"/>
      <c r="H28" s="20"/>
      <c r="I28" s="20"/>
      <c r="J28" s="20"/>
      <c r="K28" s="20"/>
      <c r="L28" s="20"/>
      <c r="M28" s="20"/>
      <c r="N28" s="21"/>
    </row>
    <row r="29" spans="2:14" ht="18" customHeight="1" x14ac:dyDescent="0.2">
      <c r="B29" s="15"/>
      <c r="C29" s="19" t="str">
        <f>IF(I22&lt;&gt;"","--de afvoer van o met o_id="&amp;I22,"")</f>
        <v>--de afvoer van o met o_id=1</v>
      </c>
      <c r="D29" s="19"/>
      <c r="E29" s="19"/>
      <c r="F29" s="20"/>
      <c r="G29" s="20"/>
      <c r="H29" s="20"/>
      <c r="I29" s="20"/>
      <c r="J29" s="20"/>
      <c r="K29" s="20"/>
      <c r="L29" s="20"/>
      <c r="M29" s="20"/>
      <c r="N29" s="21"/>
    </row>
    <row r="30" spans="2:14" ht="36" customHeight="1" x14ac:dyDescent="0.2">
      <c r="B30" s="15"/>
      <c r="C30" s="19" t="str">
        <f>IF(I22&lt;&gt;"","insert into wijziging (wijziging_type, registratie_id, representatienaam, representatie_id, tijdstip ) values ('Afvoer', "&amp;E22&amp;", 'o', "&amp;J22&amp;", '"&amp;D22&amp;"');","")</f>
        <v>insert into wijziging (wijziging_type, registratie_id, representatienaam, representatie_id, tijdstip ) values ('Afvoer', 2, 'o', 2, 't2');</v>
      </c>
      <c r="D30" s="19"/>
      <c r="E30" s="19"/>
      <c r="F30" s="20"/>
      <c r="G30" s="20"/>
      <c r="H30" s="20"/>
      <c r="I30" s="20"/>
      <c r="J30" s="20"/>
      <c r="K30" s="20"/>
      <c r="L30" s="20"/>
      <c r="M30" s="20"/>
      <c r="N30" s="21"/>
    </row>
    <row r="31" spans="2:14" x14ac:dyDescent="0.2">
      <c r="B31" s="15" t="s">
        <v>1</v>
      </c>
      <c r="C31" s="19"/>
      <c r="D31" s="19"/>
      <c r="E31" s="19"/>
      <c r="F31" s="20"/>
      <c r="G31" s="20"/>
      <c r="H31" s="20"/>
      <c r="I31" s="20"/>
      <c r="J31" s="20"/>
      <c r="K31" s="20"/>
      <c r="L31" s="20"/>
      <c r="M31" s="20"/>
      <c r="N31" s="21"/>
    </row>
    <row r="32" spans="2:14" ht="12" customHeight="1" x14ac:dyDescent="0.2">
      <c r="B32" s="15"/>
      <c r="C32" s="19" t="str">
        <f>"--de opvoer van o met o_id="&amp;J22</f>
        <v>--de opvoer van o met o_id=2</v>
      </c>
      <c r="D32" s="19"/>
      <c r="E32" s="19"/>
      <c r="F32" s="20"/>
      <c r="G32" s="20"/>
      <c r="H32" s="20"/>
      <c r="I32" s="20"/>
      <c r="J32" s="20"/>
      <c r="K32" s="20"/>
      <c r="L32" s="20"/>
      <c r="M32" s="20"/>
      <c r="N32" s="21"/>
    </row>
    <row r="33" spans="2:14" ht="36" customHeight="1" thickBot="1" x14ac:dyDescent="0.25">
      <c r="B33" s="23"/>
      <c r="C33" s="24" t="str">
        <f>"insert into wijziging (wijziging_type, registratie_id, representatienaam, representatie_id, tijdstip ) values ('Opvoer', "&amp;E22&amp;", 'o', "&amp;J22&amp;", '"&amp;D22&amp;"');"</f>
        <v>insert into wijziging (wijziging_type, registratie_id, representatienaam, representatie_id, tijdstip ) values ('Opvoer', 2, 'o', 2, 't2');</v>
      </c>
      <c r="D33" s="24"/>
      <c r="E33" s="24"/>
      <c r="F33" s="25"/>
      <c r="G33" s="25"/>
      <c r="H33" s="25"/>
      <c r="I33" s="25"/>
      <c r="J33" s="25"/>
      <c r="K33" s="25"/>
      <c r="L33" s="25"/>
      <c r="M33" s="25"/>
      <c r="N33" s="26"/>
    </row>
    <row r="34" spans="2:14" x14ac:dyDescent="0.2">
      <c r="B34" s="2" t="s">
        <v>1</v>
      </c>
    </row>
    <row r="35" spans="2:14" ht="12.75" thickBot="1" x14ac:dyDescent="0.25"/>
    <row r="36" spans="2:14" x14ac:dyDescent="0.2">
      <c r="B36" s="10" t="s">
        <v>1</v>
      </c>
      <c r="C36" s="11"/>
      <c r="D36" s="11" t="s">
        <v>70</v>
      </c>
      <c r="E36" s="11" t="s">
        <v>31</v>
      </c>
      <c r="F36" s="11" t="s">
        <v>22</v>
      </c>
      <c r="G36" s="12" t="s">
        <v>33</v>
      </c>
      <c r="H36" s="11" t="s">
        <v>20</v>
      </c>
      <c r="I36" s="11" t="s">
        <v>28</v>
      </c>
      <c r="J36" s="11" t="s">
        <v>27</v>
      </c>
      <c r="K36" s="12" t="s">
        <v>24</v>
      </c>
      <c r="L36" s="12" t="s">
        <v>25</v>
      </c>
      <c r="M36" s="13"/>
      <c r="N36" s="14"/>
    </row>
    <row r="37" spans="2:14" ht="13.5" x14ac:dyDescent="0.2">
      <c r="B37" s="15"/>
      <c r="C37" s="16"/>
      <c r="D37" s="16" t="s">
        <v>69</v>
      </c>
      <c r="E37" s="16">
        <v>3</v>
      </c>
      <c r="F37" s="27" t="s">
        <v>71</v>
      </c>
      <c r="G37" s="17">
        <v>2</v>
      </c>
      <c r="H37" s="16"/>
      <c r="I37" s="16"/>
      <c r="J37" s="17"/>
      <c r="K37" s="17"/>
      <c r="L37" s="17"/>
      <c r="M37" s="17"/>
      <c r="N37" s="18"/>
    </row>
    <row r="38" spans="2:14" x14ac:dyDescent="0.2">
      <c r="B38" s="15"/>
      <c r="C38" s="19" t="str">
        <f>"--"&amp;F37&amp;" van registratie met registratie_id="&amp;G37</f>
        <v>--Ongedaanmaking van registratie met registratie_id=2</v>
      </c>
      <c r="D38" s="19"/>
      <c r="E38" s="19"/>
      <c r="F38" s="20"/>
      <c r="G38" s="20"/>
      <c r="H38" s="20"/>
      <c r="I38" s="20"/>
      <c r="J38" s="20"/>
      <c r="K38" s="20"/>
      <c r="L38" s="20"/>
      <c r="M38" s="20"/>
      <c r="N38" s="21"/>
    </row>
    <row r="39" spans="2:14" ht="38.25" customHeight="1" x14ac:dyDescent="0.2">
      <c r="B39" s="15"/>
      <c r="C39" s="19" t="str">
        <f>"insert into registratie (registratie_id, registratie_type, tijdstip, maakt_ongedaan_registratie_id, opmerking) values ("&amp;E37&amp;", '"&amp;F37&amp;"', '"&amp;D37&amp;"', "&amp;G37&amp;", '"&amp;C38&amp;"');"</f>
        <v>insert into registratie (registratie_id, registratie_type, tijdstip, maakt_ongedaan_registratie_id, opmerking) values (3, 'Ongedaanmaking', 't3', 2, '--Ongedaanmaking van registratie met registratie_id=2');</v>
      </c>
      <c r="D39" s="19"/>
      <c r="E39" s="19"/>
      <c r="F39" s="20"/>
      <c r="G39" s="20"/>
      <c r="H39" s="20"/>
      <c r="I39" s="20"/>
      <c r="J39" s="20"/>
      <c r="K39" s="20"/>
      <c r="L39" s="20"/>
      <c r="M39" s="20"/>
      <c r="N39" s="21"/>
    </row>
    <row r="40" spans="2:14" ht="12.75" customHeight="1" x14ac:dyDescent="0.2">
      <c r="B40" s="15"/>
      <c r="C40" s="19"/>
      <c r="D40" s="19"/>
      <c r="E40" s="19"/>
      <c r="F40" s="20"/>
      <c r="G40" s="20"/>
      <c r="H40" s="20"/>
      <c r="I40" s="20"/>
      <c r="J40" s="20"/>
      <c r="K40" s="20"/>
      <c r="L40" s="20"/>
      <c r="M40" s="20"/>
      <c r="N40" s="21"/>
    </row>
    <row r="41" spans="2:14" x14ac:dyDescent="0.2">
      <c r="B41" s="22"/>
      <c r="C41" s="19" t="str">
        <f>IF(F37&lt;&gt;"Ongedaanmaking","--Geen Ongedaanmaking, neem ander template","--geen waarde in o en geen wijziging!")</f>
        <v>--geen waarde in o en geen wijziging!</v>
      </c>
      <c r="D41" s="19"/>
      <c r="E41" s="19"/>
      <c r="F41" s="20"/>
      <c r="G41" s="20"/>
      <c r="H41" s="20"/>
      <c r="I41" s="20"/>
      <c r="J41" s="20"/>
      <c r="K41" s="20"/>
      <c r="L41" s="20"/>
      <c r="M41" s="20"/>
      <c r="N41" s="21"/>
    </row>
    <row r="42" spans="2:14" ht="9.75" customHeight="1" thickBot="1" x14ac:dyDescent="0.25">
      <c r="B42" s="23"/>
      <c r="C42" s="24"/>
      <c r="D42" s="24"/>
      <c r="E42" s="24"/>
      <c r="F42" s="25"/>
      <c r="G42" s="25"/>
      <c r="H42" s="25"/>
      <c r="I42" s="25"/>
      <c r="J42" s="25"/>
      <c r="K42" s="25"/>
      <c r="L42" s="25"/>
      <c r="M42" s="25"/>
      <c r="N42" s="26"/>
    </row>
  </sheetData>
  <mergeCells count="32">
    <mergeCell ref="C42:N42"/>
    <mergeCell ref="C39:N39"/>
    <mergeCell ref="C40:N40"/>
    <mergeCell ref="C41:N41"/>
    <mergeCell ref="C2:N2"/>
    <mergeCell ref="C3:N3"/>
    <mergeCell ref="C4:N4"/>
    <mergeCell ref="C5:N5"/>
    <mergeCell ref="C38:N38"/>
    <mergeCell ref="C28:N28"/>
    <mergeCell ref="C29:N29"/>
    <mergeCell ref="C30:N30"/>
    <mergeCell ref="C31:N31"/>
    <mergeCell ref="C32:N32"/>
    <mergeCell ref="C33:N33"/>
    <mergeCell ref="C17:N17"/>
    <mergeCell ref="C18:N18"/>
    <mergeCell ref="C23:N23"/>
    <mergeCell ref="C24:N24"/>
    <mergeCell ref="C26:N26"/>
    <mergeCell ref="C27:N27"/>
    <mergeCell ref="C19:N19"/>
    <mergeCell ref="C25:N25"/>
    <mergeCell ref="C8:N8"/>
    <mergeCell ref="C9:N9"/>
    <mergeCell ref="C10:N10"/>
    <mergeCell ref="C11:N11"/>
    <mergeCell ref="C12:N12"/>
    <mergeCell ref="C16:N16"/>
    <mergeCell ref="C13:N13"/>
    <mergeCell ref="C14:N14"/>
    <mergeCell ref="C15:N15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130" zoomScaleNormal="130" workbookViewId="0">
      <selection sqref="A1:XFD1048576"/>
    </sheetView>
  </sheetViews>
  <sheetFormatPr defaultRowHeight="12" x14ac:dyDescent="0.2"/>
  <cols>
    <col min="1" max="1" width="58.7109375" style="2" customWidth="1"/>
    <col min="2" max="2" width="8" style="6" bestFit="1" customWidth="1"/>
    <col min="3" max="3" width="10.85546875" style="6" customWidth="1"/>
    <col min="4" max="4" width="6.28515625" style="6" bestFit="1" customWidth="1"/>
    <col min="5" max="5" width="4.42578125" style="6" bestFit="1" customWidth="1"/>
    <col min="6" max="6" width="4.85546875" style="6" bestFit="1" customWidth="1"/>
    <col min="7" max="7" width="4.7109375" style="6" bestFit="1" customWidth="1"/>
    <col min="8" max="8" width="4.5703125" style="7" bestFit="1" customWidth="1"/>
    <col min="9" max="9" width="7.140625" style="7" bestFit="1" customWidth="1"/>
    <col min="10" max="10" width="4.28515625" style="7" customWidth="1"/>
    <col min="11" max="11" width="40.7109375" style="6" customWidth="1"/>
    <col min="12" max="12" width="3.140625" customWidth="1"/>
    <col min="13" max="13" width="17.28515625" customWidth="1"/>
  </cols>
  <sheetData>
    <row r="1" spans="1:11" x14ac:dyDescent="0.2">
      <c r="A1" s="1" t="s">
        <v>9</v>
      </c>
    </row>
    <row r="2" spans="1:11" x14ac:dyDescent="0.2">
      <c r="A2" s="1" t="s">
        <v>0</v>
      </c>
    </row>
    <row r="3" spans="1:11" x14ac:dyDescent="0.2">
      <c r="A3" s="2" t="s">
        <v>1</v>
      </c>
      <c r="B3" s="8" t="s">
        <v>23</v>
      </c>
      <c r="C3" s="8" t="s">
        <v>22</v>
      </c>
      <c r="D3" s="8" t="s">
        <v>31</v>
      </c>
      <c r="E3" s="8" t="s">
        <v>20</v>
      </c>
      <c r="F3" s="8" t="s">
        <v>28</v>
      </c>
      <c r="G3" s="8" t="s">
        <v>27</v>
      </c>
      <c r="H3" s="9" t="s">
        <v>24</v>
      </c>
      <c r="I3" s="9" t="s">
        <v>25</v>
      </c>
    </row>
    <row r="4" spans="1:11" x14ac:dyDescent="0.2">
      <c r="A4" s="2" t="s">
        <v>10</v>
      </c>
      <c r="B4" s="6" t="s">
        <v>19</v>
      </c>
      <c r="C4" s="6" t="s">
        <v>18</v>
      </c>
      <c r="D4" s="6">
        <v>1</v>
      </c>
      <c r="E4" s="6" t="s">
        <v>21</v>
      </c>
      <c r="G4" s="7">
        <v>1</v>
      </c>
      <c r="H4" s="7">
        <v>1</v>
      </c>
      <c r="I4" s="7" t="s">
        <v>26</v>
      </c>
    </row>
    <row r="5" spans="1:11" x14ac:dyDescent="0.2">
      <c r="A5" s="2" t="s">
        <v>11</v>
      </c>
      <c r="B5" s="4" t="str">
        <f>"--"&amp;C4&amp;" van "&amp;E4&amp;": "&amp;IF(F4&lt;&gt;"","van o_id="&amp;F4&amp;" naar ","")&amp;"o_id="&amp;G4&amp;" met x_id="&amp;H4&amp;" en waarde="&amp;I4</f>
        <v>--Registratie van O: o_id=1 met x_id=1 en waarde=A</v>
      </c>
      <c r="C5" s="5"/>
      <c r="D5" s="5"/>
      <c r="E5" s="5"/>
      <c r="F5" s="5"/>
      <c r="G5" s="5"/>
      <c r="H5" s="5"/>
      <c r="I5" s="5"/>
      <c r="J5" s="5"/>
      <c r="K5" s="5"/>
    </row>
    <row r="6" spans="1:11" ht="24" x14ac:dyDescent="0.2">
      <c r="A6" s="2" t="s">
        <v>2</v>
      </c>
      <c r="B6" s="4" t="str">
        <f t="shared" ref="B6" si="0">"insert into registratie (registratie_id, registratie_type, tijdstip, opmerking) values ("&amp;D4&amp;", '"&amp;C4&amp;"', '"&amp;B4&amp;"', '"&amp;B5&amp;"');"</f>
        <v>insert into registratie (registratie_id, registratie_type, tijdstip, opmerking) values (1, 'Registratie', 't1', '--Registratie van O: o_id=1 met x_id=1 en waarde=A');</v>
      </c>
      <c r="C6" s="5"/>
      <c r="D6" s="5"/>
      <c r="E6" s="5"/>
      <c r="F6" s="5"/>
      <c r="G6" s="5"/>
      <c r="H6" s="5"/>
      <c r="I6" s="5"/>
      <c r="J6" s="5"/>
      <c r="K6" s="5"/>
    </row>
    <row r="7" spans="1:11" x14ac:dyDescent="0.2">
      <c r="A7" s="2" t="s">
        <v>1</v>
      </c>
      <c r="B7" s="4"/>
      <c r="C7" s="5"/>
      <c r="D7" s="5"/>
      <c r="E7" s="5"/>
      <c r="F7" s="5"/>
      <c r="G7" s="5"/>
      <c r="H7" s="5"/>
      <c r="I7" s="5"/>
      <c r="J7" s="5"/>
      <c r="K7" s="5"/>
    </row>
    <row r="8" spans="1:11" x14ac:dyDescent="0.2">
      <c r="A8" s="3" t="s">
        <v>32</v>
      </c>
      <c r="B8" s="4" t="str">
        <f>"--insert de waarde in o"</f>
        <v>--insert de waarde in o</v>
      </c>
      <c r="C8" s="5"/>
      <c r="D8" s="5"/>
      <c r="E8" s="5"/>
      <c r="F8" s="5"/>
      <c r="G8" s="5"/>
      <c r="H8" s="5"/>
      <c r="I8" s="5"/>
      <c r="J8" s="5"/>
      <c r="K8" s="5"/>
    </row>
    <row r="9" spans="1:11" x14ac:dyDescent="0.2">
      <c r="A9" s="2" t="s">
        <v>3</v>
      </c>
      <c r="B9" s="4" t="str">
        <f>"insert into o (o_id, x_id, waarde) values ("&amp;G4&amp;", "&amp;H4&amp;", '"&amp;I4&amp;"');"</f>
        <v>insert into o (o_id, x_id, waarde) values (1, 1, 'A');</v>
      </c>
      <c r="C9" s="5"/>
      <c r="D9" s="5"/>
      <c r="E9" s="5"/>
      <c r="F9" s="5"/>
      <c r="G9" s="5"/>
      <c r="H9" s="5"/>
      <c r="I9" s="5"/>
      <c r="J9" s="5"/>
      <c r="K9" s="5"/>
    </row>
    <row r="10" spans="1:11" ht="17.25" customHeight="1" x14ac:dyDescent="0.2">
      <c r="B10" s="4"/>
      <c r="C10" s="5"/>
      <c r="D10" s="5"/>
      <c r="E10" s="5"/>
      <c r="F10" s="5"/>
      <c r="G10" s="5"/>
      <c r="H10" s="5"/>
      <c r="I10" s="5"/>
      <c r="J10" s="5"/>
      <c r="K10" s="5"/>
    </row>
    <row r="11" spans="1:11" ht="15.75" customHeight="1" x14ac:dyDescent="0.2">
      <c r="B11" s="4" t="str">
        <f>IF(F4&lt;&gt;"","--de afvoer van o met o_id="&amp;F4,"")</f>
        <v/>
      </c>
      <c r="C11" s="5"/>
      <c r="D11" s="5"/>
      <c r="E11" s="5"/>
      <c r="F11" s="5"/>
      <c r="G11" s="5"/>
      <c r="H11" s="5"/>
      <c r="I11" s="5"/>
      <c r="J11" s="5"/>
      <c r="K11" s="5"/>
    </row>
    <row r="12" spans="1:11" ht="17.25" customHeight="1" x14ac:dyDescent="0.2">
      <c r="B12" s="4" t="str">
        <f>IF(F4&lt;&gt;"","insert into wijziging (wijziging_type, registratie_id, representatienaam, representatie_id, tijdstip ) values ('Afvoer', "&amp;D4&amp;", 'o', "&amp;G4&amp;", '"&amp;B4&amp;"');","")</f>
        <v/>
      </c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">
      <c r="B13" s="4"/>
      <c r="C13" s="5"/>
      <c r="D13" s="5"/>
      <c r="E13" s="5"/>
      <c r="F13" s="5"/>
      <c r="G13" s="5"/>
      <c r="H13" s="5"/>
      <c r="I13" s="5"/>
      <c r="J13" s="5"/>
      <c r="K13" s="5"/>
    </row>
    <row r="14" spans="1:11" ht="24" x14ac:dyDescent="0.2">
      <c r="A14" s="2" t="s">
        <v>13</v>
      </c>
      <c r="B14" s="4" t="str">
        <f>"--de opvoer van o met o_id="&amp;G4</f>
        <v>--de opvoer van o met o_id=1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ht="36" x14ac:dyDescent="0.2">
      <c r="A15" s="2" t="s">
        <v>4</v>
      </c>
      <c r="B15" s="4" t="str">
        <f>"insert into wijziging (wijziging_type, registratie_id, representatienaam, representatie_id, tijdstip ) values ('Opvoer', "&amp;D4&amp;", 'o', "&amp;G4&amp;", '"&amp;B4&amp;"');"</f>
        <v>insert into wijziging (wijziging_type, registratie_id, representatienaam, representatie_id, tijdstip ) values ('Opvoer', 1, 'o', 1, 't1');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B16" s="4"/>
      <c r="C16" s="5"/>
      <c r="D16" s="5"/>
      <c r="E16" s="5"/>
      <c r="F16" s="5"/>
      <c r="G16" s="5"/>
      <c r="H16" s="5"/>
      <c r="I16" s="5"/>
      <c r="J16" s="5"/>
      <c r="K16" s="5"/>
    </row>
    <row r="18" spans="1:11" x14ac:dyDescent="0.2">
      <c r="A18" s="2" t="s">
        <v>1</v>
      </c>
      <c r="B18" s="8" t="s">
        <v>23</v>
      </c>
      <c r="C18" s="8" t="s">
        <v>22</v>
      </c>
      <c r="D18" s="8" t="s">
        <v>31</v>
      </c>
      <c r="E18" s="8" t="s">
        <v>20</v>
      </c>
      <c r="F18" s="8" t="s">
        <v>28</v>
      </c>
      <c r="G18" s="8" t="s">
        <v>27</v>
      </c>
      <c r="H18" s="9" t="s">
        <v>24</v>
      </c>
      <c r="I18" s="9" t="s">
        <v>25</v>
      </c>
    </row>
    <row r="19" spans="1:11" x14ac:dyDescent="0.2">
      <c r="A19" s="2" t="s">
        <v>14</v>
      </c>
      <c r="B19" s="6" t="s">
        <v>29</v>
      </c>
      <c r="C19" s="6" t="s">
        <v>18</v>
      </c>
      <c r="D19" s="6">
        <v>2</v>
      </c>
      <c r="E19" s="6" t="s">
        <v>21</v>
      </c>
      <c r="F19" s="6">
        <v>1</v>
      </c>
      <c r="G19" s="7">
        <v>2</v>
      </c>
      <c r="H19" s="7">
        <v>1</v>
      </c>
      <c r="I19" s="7" t="s">
        <v>30</v>
      </c>
    </row>
    <row r="20" spans="1:11" x14ac:dyDescent="0.2">
      <c r="A20" s="2" t="s">
        <v>15</v>
      </c>
      <c r="B20" s="4" t="str">
        <f>"--"&amp;C19&amp;" van "&amp;E19&amp;": "&amp;IF(F19&lt;&gt;"","van o_id="&amp;F19&amp;" naar ","")&amp;"o_id="&amp;G19&amp;" met x_id="&amp;H19&amp;" en waarde="&amp;I19</f>
        <v>--Registratie van O: van o_id=1 naar o_id=2 met x_id=1 en waarde=B</v>
      </c>
      <c r="C20" s="5"/>
      <c r="D20" s="5"/>
      <c r="E20" s="5"/>
      <c r="F20" s="5"/>
      <c r="G20" s="5"/>
      <c r="H20" s="5"/>
      <c r="I20" s="5"/>
      <c r="J20" s="5"/>
      <c r="K20" s="5"/>
    </row>
    <row r="21" spans="1:11" ht="24" x14ac:dyDescent="0.2">
      <c r="A21" s="2" t="s">
        <v>5</v>
      </c>
      <c r="B21" s="4" t="str">
        <f t="shared" ref="B21" si="1">"insert into registratie (registratie_id, registratie_type, tijdstip, opmerking) values ("&amp;D19&amp;", '"&amp;C19&amp;"', '"&amp;B19&amp;"', '"&amp;B20&amp;"');"</f>
        <v>insert into registratie (registratie_id, registratie_type, tijdstip, opmerking) values (2, 'Registratie', 't2', '--Registratie van O: van o_id=1 naar o_id=2 met x_id=1 en waarde=B');</v>
      </c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">
      <c r="B22" s="4"/>
      <c r="C22" s="5"/>
      <c r="D22" s="5"/>
      <c r="E22" s="5"/>
      <c r="F22" s="5"/>
      <c r="G22" s="5"/>
      <c r="H22" s="5"/>
      <c r="I22" s="5"/>
      <c r="J22" s="5"/>
      <c r="K22" s="5"/>
    </row>
    <row r="23" spans="1:11" ht="12" customHeight="1" x14ac:dyDescent="0.2">
      <c r="A23" s="2" t="s">
        <v>12</v>
      </c>
      <c r="B23" s="4" t="str">
        <f>"--insert de waarde in o"</f>
        <v>--insert de waarde in o</v>
      </c>
      <c r="C23" s="5"/>
      <c r="D23" s="5"/>
      <c r="E23" s="5"/>
      <c r="F23" s="5"/>
      <c r="G23" s="5"/>
      <c r="H23" s="5"/>
      <c r="I23" s="5"/>
      <c r="J23" s="5"/>
      <c r="K23" s="5"/>
    </row>
    <row r="24" spans="1:11" ht="12" customHeight="1" x14ac:dyDescent="0.2">
      <c r="A24" s="2" t="s">
        <v>6</v>
      </c>
      <c r="B24" s="4" t="str">
        <f>"insert into o (o_id, x_id, waarde) values ("&amp;G19&amp;", "&amp;H19&amp;", '"&amp;I19&amp;"');"</f>
        <v>insert into o (o_id, x_id, waarde) values (2, 1, 'B');</v>
      </c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">
      <c r="A25" s="2" t="s">
        <v>1</v>
      </c>
      <c r="B25" s="4"/>
      <c r="C25" s="5"/>
      <c r="D25" s="5"/>
      <c r="E25" s="5"/>
      <c r="F25" s="5"/>
      <c r="G25" s="5"/>
      <c r="H25" s="5"/>
      <c r="I25" s="5"/>
      <c r="J25" s="5"/>
      <c r="K25" s="5"/>
    </row>
    <row r="26" spans="1:11" ht="24" x14ac:dyDescent="0.2">
      <c r="A26" s="2" t="s">
        <v>16</v>
      </c>
      <c r="B26" s="4" t="str">
        <f>IF(F19&lt;&gt;"","--de afvoer van o met o_id="&amp;F19,"")</f>
        <v>--de afvoer van o met o_id=1</v>
      </c>
      <c r="C26" s="5"/>
      <c r="D26" s="5"/>
      <c r="E26" s="5"/>
      <c r="F26" s="5"/>
      <c r="G26" s="5"/>
      <c r="H26" s="5"/>
      <c r="I26" s="5"/>
      <c r="J26" s="5"/>
      <c r="K26" s="5"/>
    </row>
    <row r="27" spans="1:11" ht="36" x14ac:dyDescent="0.2">
      <c r="A27" s="2" t="s">
        <v>7</v>
      </c>
      <c r="B27" s="4" t="str">
        <f>IF(F19&lt;&gt;"","insert into wijziging (wijziging_type, registratie_id, representatienaam, representatie_id, tijdstip ) values ('Afvoer', "&amp;D19&amp;", 'o', "&amp;G19&amp;", '"&amp;B19&amp;"');","")</f>
        <v>insert into wijziging (wijziging_type, registratie_id, representatienaam, representatie_id, tijdstip ) values ('Afvoer', 2, 'o', 2, 't2');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">
      <c r="A28" s="2" t="s">
        <v>1</v>
      </c>
      <c r="B28" s="4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">
      <c r="A29" s="2" t="s">
        <v>17</v>
      </c>
      <c r="B29" s="4" t="str">
        <f>"--de opvoer van o met o_id="&amp;G19</f>
        <v>--de opvoer van o met o_id=2</v>
      </c>
      <c r="C29" s="5"/>
      <c r="D29" s="5"/>
      <c r="E29" s="5"/>
      <c r="F29" s="5"/>
      <c r="G29" s="5"/>
      <c r="H29" s="5"/>
      <c r="I29" s="5"/>
      <c r="J29" s="5"/>
      <c r="K29" s="5"/>
    </row>
    <row r="30" spans="1:11" ht="36" x14ac:dyDescent="0.2">
      <c r="A30" s="2" t="s">
        <v>8</v>
      </c>
      <c r="B30" s="4" t="str">
        <f>"insert into wijziging (wijziging_type, registratie_id, representatienaam, representatie_id, tijdstip ) values ('Opvoer', "&amp;D19&amp;", 'o', "&amp;G19&amp;", '"&amp;B19&amp;"');"</f>
        <v>insert into wijziging (wijziging_type, registratie_id, representatienaam, representatie_id, tijdstip ) values ('Opvoer', 2, 'o', 2, 't2');</v>
      </c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">
      <c r="A31" s="2" t="s">
        <v>1</v>
      </c>
    </row>
  </sheetData>
  <mergeCells count="23">
    <mergeCell ref="B26:K26"/>
    <mergeCell ref="B27:K27"/>
    <mergeCell ref="B28:K28"/>
    <mergeCell ref="B29:K29"/>
    <mergeCell ref="B30:K30"/>
    <mergeCell ref="B20:K20"/>
    <mergeCell ref="B21:K21"/>
    <mergeCell ref="B22:K22"/>
    <mergeCell ref="B23:K23"/>
    <mergeCell ref="B24:K24"/>
    <mergeCell ref="B25:K25"/>
    <mergeCell ref="B11:K11"/>
    <mergeCell ref="B12:K12"/>
    <mergeCell ref="B13:K13"/>
    <mergeCell ref="B14:K14"/>
    <mergeCell ref="B15:K15"/>
    <mergeCell ref="B16:K16"/>
    <mergeCell ref="B5:K5"/>
    <mergeCell ref="B6:K6"/>
    <mergeCell ref="B7:K7"/>
    <mergeCell ref="B8:K8"/>
    <mergeCell ref="B9:K9"/>
    <mergeCell ref="B10:K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Create Table</vt:lpstr>
      <vt:lpstr>Inserts</vt:lpstr>
      <vt:lpstr>bu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dbxwwe</dc:creator>
  <cp:lastModifiedBy>dbxwwe</cp:lastModifiedBy>
  <dcterms:created xsi:type="dcterms:W3CDTF">2018-01-31T12:37:32Z</dcterms:created>
  <dcterms:modified xsi:type="dcterms:W3CDTF">2018-01-31T20:33:21Z</dcterms:modified>
</cp:coreProperties>
</file>